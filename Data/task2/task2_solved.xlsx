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nwar\Desktop\"/>
    </mc:Choice>
  </mc:AlternateContent>
  <xr:revisionPtr revIDLastSave="0" documentId="13_ncr:1_{F1E9E5B9-3EBC-434B-AE2F-43F55AB9F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D19" i="1"/>
  <c r="D18" i="1"/>
  <c r="D17" i="1"/>
  <c r="E3" i="1"/>
  <c r="E16" i="1" s="1"/>
  <c r="D16" i="1"/>
  <c r="E4" i="1"/>
  <c r="F4" i="1" s="1"/>
  <c r="E5" i="1"/>
  <c r="F5" i="1" s="1"/>
  <c r="E6" i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F3" i="1" l="1"/>
  <c r="E17" i="1"/>
  <c r="E18" i="1"/>
  <c r="E19" i="1"/>
</calcChain>
</file>

<file path=xl/sharedStrings.xml><?xml version="1.0" encoding="utf-8"?>
<sst xmlns="http://schemas.openxmlformats.org/spreadsheetml/2006/main" count="22" uniqueCount="22">
  <si>
    <t>States</t>
  </si>
  <si>
    <t>Tickets sold</t>
  </si>
  <si>
    <t>Mumbai</t>
  </si>
  <si>
    <t>Chennai</t>
  </si>
  <si>
    <t>Delhi</t>
  </si>
  <si>
    <t>Jaipur</t>
  </si>
  <si>
    <t>Kolkatta</t>
  </si>
  <si>
    <t>Pune</t>
  </si>
  <si>
    <t>Hyderabad</t>
  </si>
  <si>
    <t>Lucknow</t>
  </si>
  <si>
    <t>Rajkot</t>
  </si>
  <si>
    <t>Ranchi</t>
  </si>
  <si>
    <t>Mohali</t>
  </si>
  <si>
    <t>Noida</t>
  </si>
  <si>
    <t>City Revenue</t>
  </si>
  <si>
    <t>Total Ticket sold</t>
  </si>
  <si>
    <t>Average ticket cost</t>
  </si>
  <si>
    <t>Number of Cities</t>
  </si>
  <si>
    <t>Max Tickets sold</t>
  </si>
  <si>
    <t>Min Tickets sold</t>
  </si>
  <si>
    <t>Average Tickets sold</t>
  </si>
  <si>
    <t>%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</si>
</sst>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 [$₹-439]* #,##0_ ;_ [$₹-439]* \-#,##0_ ;_ [$₹-439]* &quot;-&quot;??_ ;_ @_ "/>
    <numFmt numFmtId="172" formatCode="_ [$₹-4009]\ * #,##0.00_ ;_ [$₹-4009]\ * \-#,##0.00_ ;_ [$₹-4009]\ * &quot;-&quot;??_ ;_ @_ "/>
    <numFmt numFmtId="173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0" fillId="0" borderId="1" xfId="0" applyBorder="1"/>
    <xf numFmtId="0" fontId="0" fillId="0" borderId="3" xfId="0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2" xfId="0" applyNumberFormat="1" applyBorder="1"/>
    <xf numFmtId="171" fontId="0" fillId="0" borderId="2" xfId="0" applyNumberFormat="1" applyBorder="1"/>
    <xf numFmtId="0" fontId="2" fillId="2" borderId="2" xfId="0" applyFont="1" applyFill="1" applyBorder="1"/>
    <xf numFmtId="172" fontId="0" fillId="0" borderId="2" xfId="0" applyNumberFormat="1" applyFont="1" applyFill="1" applyBorder="1"/>
    <xf numFmtId="173" fontId="0" fillId="0" borderId="2" xfId="1" applyNumberFormat="1" applyFont="1" applyBorder="1"/>
    <xf numFmtId="173" fontId="0" fillId="0" borderId="0" xfId="1" applyNumberFormat="1" applyFont="1" applyBorder="1"/>
    <xf numFmtId="3" fontId="0" fillId="0" borderId="6" xfId="0" applyNumberFormat="1" applyFont="1" applyFill="1" applyBorder="1"/>
    <xf numFmtId="0" fontId="2" fillId="3" borderId="0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19"/>
  <sheetViews>
    <sheetView showGridLines="0" tabSelected="1" workbookViewId="0">
      <selection activeCell="C22" sqref="C22"/>
    </sheetView>
  </sheetViews>
  <sheetFormatPr defaultRowHeight="14.4" x14ac:dyDescent="0.3"/>
  <cols>
    <col min="3" max="3" width="18.21875" bestFit="1" customWidth="1"/>
    <col min="4" max="4" width="14.33203125" bestFit="1" customWidth="1"/>
    <col min="5" max="5" width="16.6640625" bestFit="1" customWidth="1"/>
    <col min="6" max="6" width="10.21875" bestFit="1" customWidth="1"/>
    <col min="7" max="7" width="10.21875" customWidth="1"/>
    <col min="8" max="8" width="17" bestFit="1" customWidth="1"/>
    <col min="9" max="9" width="8.77734375" customWidth="1"/>
    <col min="10" max="10" width="9.21875" customWidth="1"/>
  </cols>
  <sheetData>
    <row r="1" spans="3:9" ht="15" thickBot="1" x14ac:dyDescent="0.35"/>
    <row r="2" spans="3:9" ht="15" thickBot="1" x14ac:dyDescent="0.35">
      <c r="C2" s="9" t="s">
        <v>0</v>
      </c>
      <c r="D2" s="9" t="s">
        <v>1</v>
      </c>
      <c r="E2" s="9" t="s">
        <v>14</v>
      </c>
      <c r="F2" s="9" t="s">
        <v>21</v>
      </c>
      <c r="G2" s="14"/>
    </row>
    <row r="3" spans="3:9" ht="15" thickBot="1" x14ac:dyDescent="0.35">
      <c r="C3" s="4" t="s">
        <v>2</v>
      </c>
      <c r="D3" s="5">
        <v>3249788</v>
      </c>
      <c r="E3" s="8">
        <f>(D3*$I$13)</f>
        <v>812447000</v>
      </c>
      <c r="F3" s="11">
        <f>E3/E$16</f>
        <v>0.23554838153209212</v>
      </c>
      <c r="G3" s="12"/>
    </row>
    <row r="4" spans="3:9" ht="15" thickBot="1" x14ac:dyDescent="0.35">
      <c r="C4" s="3" t="s">
        <v>3</v>
      </c>
      <c r="D4" s="6">
        <v>1817516</v>
      </c>
      <c r="E4" s="8">
        <f>(D4*$I$13)</f>
        <v>454379000</v>
      </c>
      <c r="F4" s="11">
        <f t="shared" ref="F4:F14" si="0">E4/E$16</f>
        <v>0.1317356554361952</v>
      </c>
      <c r="G4" s="12"/>
    </row>
    <row r="5" spans="3:9" ht="15" thickBot="1" x14ac:dyDescent="0.35">
      <c r="C5" s="3" t="s">
        <v>4</v>
      </c>
      <c r="D5" s="6">
        <v>1897855</v>
      </c>
      <c r="E5" s="8">
        <f>(D5*$I$13)</f>
        <v>474463750</v>
      </c>
      <c r="F5" s="11">
        <f t="shared" si="0"/>
        <v>0.13755871879414555</v>
      </c>
      <c r="G5" s="12"/>
    </row>
    <row r="6" spans="3:9" ht="15" thickBot="1" x14ac:dyDescent="0.35">
      <c r="C6" s="3" t="s">
        <v>5</v>
      </c>
      <c r="D6" s="6">
        <v>1632610</v>
      </c>
      <c r="E6" s="8">
        <f>(D6*$I$13)</f>
        <v>408152500</v>
      </c>
      <c r="F6" s="11">
        <f t="shared" si="0"/>
        <v>0.11833345534327437</v>
      </c>
      <c r="G6" s="12"/>
    </row>
    <row r="7" spans="3:9" ht="15" thickBot="1" x14ac:dyDescent="0.35">
      <c r="C7" s="3" t="s">
        <v>6</v>
      </c>
      <c r="D7" s="6">
        <v>993235</v>
      </c>
      <c r="E7" s="8">
        <f>(D7*$I$13)</f>
        <v>248308750</v>
      </c>
      <c r="F7" s="11">
        <f t="shared" si="0"/>
        <v>7.1990818087526789E-2</v>
      </c>
      <c r="G7" s="12"/>
    </row>
    <row r="8" spans="3:9" ht="15" thickBot="1" x14ac:dyDescent="0.35">
      <c r="C8" s="3" t="s">
        <v>7</v>
      </c>
      <c r="D8" s="6">
        <v>912588</v>
      </c>
      <c r="E8" s="8">
        <f>(D8*$I$13)</f>
        <v>228147000</v>
      </c>
      <c r="F8" s="11">
        <f t="shared" si="0"/>
        <v>6.6145430534425287E-2</v>
      </c>
      <c r="G8" s="12"/>
    </row>
    <row r="9" spans="3:9" ht="15" thickBot="1" x14ac:dyDescent="0.35">
      <c r="C9" s="3" t="s">
        <v>8</v>
      </c>
      <c r="D9" s="6">
        <v>790596</v>
      </c>
      <c r="E9" s="8">
        <f>(D9*$I$13)</f>
        <v>197649000</v>
      </c>
      <c r="F9" s="11">
        <f t="shared" si="0"/>
        <v>5.7303309706893464E-2</v>
      </c>
      <c r="G9" s="12"/>
    </row>
    <row r="10" spans="3:9" ht="15" thickBot="1" x14ac:dyDescent="0.35">
      <c r="C10" s="3" t="s">
        <v>9</v>
      </c>
      <c r="D10" s="6">
        <v>661251</v>
      </c>
      <c r="E10" s="8">
        <f>(D10*$I$13)</f>
        <v>165312750</v>
      </c>
      <c r="F10" s="11">
        <f t="shared" si="0"/>
        <v>4.7928234960704343E-2</v>
      </c>
      <c r="G10" s="12"/>
    </row>
    <row r="11" spans="3:9" ht="15" thickBot="1" x14ac:dyDescent="0.35">
      <c r="C11" s="3" t="s">
        <v>10</v>
      </c>
      <c r="D11" s="6">
        <v>552058</v>
      </c>
      <c r="E11" s="8">
        <f>(D11*$I$13)</f>
        <v>138014500</v>
      </c>
      <c r="F11" s="11">
        <f t="shared" si="0"/>
        <v>4.0013800411547985E-2</v>
      </c>
      <c r="G11" s="12"/>
    </row>
    <row r="12" spans="3:9" ht="15" thickBot="1" x14ac:dyDescent="0.35">
      <c r="C12" s="3" t="s">
        <v>11</v>
      </c>
      <c r="D12" s="6">
        <v>654021</v>
      </c>
      <c r="E12" s="8">
        <f>(D12*$I$13)</f>
        <v>163505250</v>
      </c>
      <c r="F12" s="11">
        <f t="shared" si="0"/>
        <v>4.7404196223876885E-2</v>
      </c>
      <c r="G12" s="12"/>
    </row>
    <row r="13" spans="3:9" ht="15" thickBot="1" x14ac:dyDescent="0.35">
      <c r="C13" s="3" t="s">
        <v>12</v>
      </c>
      <c r="D13" s="6">
        <v>335576</v>
      </c>
      <c r="E13" s="8">
        <f>(D13*$I$13)</f>
        <v>83894000</v>
      </c>
      <c r="F13" s="11">
        <f t="shared" si="0"/>
        <v>2.4322935428715147E-2</v>
      </c>
      <c r="G13" s="12"/>
      <c r="H13" s="9" t="s">
        <v>16</v>
      </c>
      <c r="I13" s="10">
        <v>250</v>
      </c>
    </row>
    <row r="14" spans="3:9" ht="15" thickBot="1" x14ac:dyDescent="0.35">
      <c r="C14" s="3" t="s">
        <v>13</v>
      </c>
      <c r="D14" s="6">
        <v>299596</v>
      </c>
      <c r="E14" s="8">
        <f>(D14*$I$13)</f>
        <v>74899000</v>
      </c>
      <c r="F14" s="11">
        <f t="shared" si="0"/>
        <v>2.1715063540602854E-2</v>
      </c>
      <c r="G14" s="12"/>
      <c r="H14" s="9" t="s">
        <v>17</v>
      </c>
      <c r="I14" s="13">
        <v>12</v>
      </c>
    </row>
    <row r="15" spans="3:9" ht="15" thickBot="1" x14ac:dyDescent="0.35">
      <c r="C15" s="1"/>
      <c r="D15" s="2"/>
    </row>
    <row r="16" spans="3:9" ht="15" thickBot="1" x14ac:dyDescent="0.35">
      <c r="C16" s="9" t="s">
        <v>15</v>
      </c>
      <c r="D16" s="7">
        <f>SUM(D3:D14)</f>
        <v>13796690</v>
      </c>
      <c r="E16" s="8">
        <f>SUM(E3:E14)</f>
        <v>3449172500</v>
      </c>
    </row>
    <row r="17" spans="3:5" ht="15" thickBot="1" x14ac:dyDescent="0.35">
      <c r="C17" s="9" t="s">
        <v>18</v>
      </c>
      <c r="D17" s="7">
        <f>MAX(D3:D14)</f>
        <v>3249788</v>
      </c>
      <c r="E17" s="8">
        <f>MAX(E3:E14)</f>
        <v>812447000</v>
      </c>
    </row>
    <row r="18" spans="3:5" ht="15" thickBot="1" x14ac:dyDescent="0.35">
      <c r="C18" s="9" t="s">
        <v>19</v>
      </c>
      <c r="D18" s="7">
        <f>MIN(D3:D14)</f>
        <v>299596</v>
      </c>
      <c r="E18" s="8">
        <f>MIN(E3:E14)</f>
        <v>74899000</v>
      </c>
    </row>
    <row r="19" spans="3:5" ht="15" thickBot="1" x14ac:dyDescent="0.35">
      <c r="C19" s="9" t="s">
        <v>20</v>
      </c>
      <c r="D19" s="7">
        <f>AVERAGE(D3:D14)</f>
        <v>1149724.1666666667</v>
      </c>
      <c r="E19" s="8">
        <f>AVERAGE(E3:E14)</f>
        <v>287431041.66666669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Panwar</dc:creator>
  <cp:lastModifiedBy>Ritik Panwar</cp:lastModifiedBy>
  <dcterms:created xsi:type="dcterms:W3CDTF">2015-06-05T18:17:20Z</dcterms:created>
  <dcterms:modified xsi:type="dcterms:W3CDTF">2026-09-26T08:39:57Z</dcterms:modified>
</cp:coreProperties>
</file>